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el\OneDrive\Desktop\wuhan_excess\"/>
    </mc:Choice>
  </mc:AlternateContent>
  <xr:revisionPtr revIDLastSave="0" documentId="13_ncr:1_{566161D6-A430-4A83-9A4E-9C1726E04966}" xr6:coauthVersionLast="47" xr6:coauthVersionMax="47" xr10:uidLastSave="{00000000-0000-0000-0000-000000000000}"/>
  <bookViews>
    <workbookView xWindow="-120" yWindow="-120" windowWidth="29040" windowHeight="15720" xr2:uid="{C9E062C5-0DB4-4A25-927F-12E09B731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H10" i="1" s="1"/>
  <c r="G4" i="1"/>
  <c r="H4" i="1" s="1"/>
  <c r="F14" i="1"/>
  <c r="F13" i="1"/>
  <c r="F12" i="1"/>
  <c r="F11" i="1"/>
  <c r="G11" i="1" s="1"/>
  <c r="H11" i="1" s="1"/>
  <c r="F10" i="1"/>
  <c r="F9" i="1"/>
  <c r="F8" i="1"/>
  <c r="F7" i="1"/>
  <c r="F6" i="1"/>
  <c r="F5" i="1"/>
  <c r="G5" i="1" s="1"/>
  <c r="H5" i="1" s="1"/>
  <c r="F4" i="1"/>
  <c r="F3" i="1"/>
  <c r="F2" i="1"/>
  <c r="E14" i="1"/>
  <c r="G14" i="1" s="1"/>
  <c r="H14" i="1" s="1"/>
  <c r="E13" i="1"/>
  <c r="G13" i="1" s="1"/>
  <c r="H13" i="1" s="1"/>
  <c r="E12" i="1"/>
  <c r="G12" i="1" s="1"/>
  <c r="H12" i="1" s="1"/>
  <c r="E11" i="1"/>
  <c r="E10" i="1"/>
  <c r="E9" i="1"/>
  <c r="G9" i="1" s="1"/>
  <c r="H9" i="1" s="1"/>
  <c r="E8" i="1"/>
  <c r="G8" i="1" s="1"/>
  <c r="H8" i="1" s="1"/>
  <c r="E7" i="1"/>
  <c r="G7" i="1" s="1"/>
  <c r="H7" i="1" s="1"/>
  <c r="E6" i="1"/>
  <c r="G6" i="1" s="1"/>
  <c r="H6" i="1" s="1"/>
  <c r="E5" i="1"/>
  <c r="E4" i="1"/>
  <c r="E3" i="1"/>
  <c r="G3" i="1" s="1"/>
  <c r="H3" i="1" s="1"/>
  <c r="E2" i="1"/>
  <c r="G2" i="1" s="1"/>
  <c r="H2" i="1" s="1"/>
</calcChain>
</file>

<file path=xl/sharedStrings.xml><?xml version="1.0" encoding="utf-8"?>
<sst xmlns="http://schemas.openxmlformats.org/spreadsheetml/2006/main" count="22" uniqueCount="22">
  <si>
    <t>District</t>
  </si>
  <si>
    <t>population</t>
  </si>
  <si>
    <t>antibody rate blue maps</t>
  </si>
  <si>
    <t>infected people red</t>
  </si>
  <si>
    <t>infected people blue</t>
  </si>
  <si>
    <t>average</t>
  </si>
  <si>
    <t>number of deaths</t>
  </si>
  <si>
    <t>Jiang'an</t>
  </si>
  <si>
    <t>Jianghan</t>
  </si>
  <si>
    <t>Qiaokou</t>
  </si>
  <si>
    <t>Hanyang</t>
  </si>
  <si>
    <t>Wuchang</t>
  </si>
  <si>
    <t>Qingshan</t>
  </si>
  <si>
    <t>Hongshan</t>
  </si>
  <si>
    <t>Dongxihu</t>
  </si>
  <si>
    <t>Hannan</t>
  </si>
  <si>
    <t>Caidian</t>
  </si>
  <si>
    <t>Jiangxia</t>
  </si>
  <si>
    <t>Huangpi</t>
  </si>
  <si>
    <t>Xinzhou</t>
  </si>
  <si>
    <t>Total</t>
  </si>
  <si>
    <t>antibody rate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</si>
</sst>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6896-677F-4D24-8D9B-E0A385A60E0A}">
  <dimension ref="A1:H16"/>
  <sheetViews>
    <sheetView tabSelected="1" workbookViewId="0">
      <selection activeCell="J24" sqref="J24"/>
    </sheetView>
  </sheetViews>
  <sheetFormatPr defaultRowHeight="15" x14ac:dyDescent="0.25"/>
  <cols>
    <col min="2" max="2" width="10.5703125" customWidth="1"/>
    <col min="3" max="3" width="12.5703125" customWidth="1"/>
    <col min="4" max="4" width="12.28515625" customWidth="1"/>
    <col min="5" max="5" width="14.85546875" style="2" customWidth="1"/>
    <col min="6" max="6" width="14.5703125" style="2" customWidth="1"/>
    <col min="7" max="7" width="9.140625" style="2"/>
    <col min="8" max="8" width="17" style="2" customWidth="1"/>
  </cols>
  <sheetData>
    <row r="1" spans="1:8" x14ac:dyDescent="0.25">
      <c r="A1" t="s">
        <v>0</v>
      </c>
      <c r="B1" t="s">
        <v>1</v>
      </c>
      <c r="C1" t="s">
        <v>21</v>
      </c>
      <c r="D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t="s">
        <v>7</v>
      </c>
      <c r="B2" s="1">
        <v>895635</v>
      </c>
      <c r="C2">
        <v>6.5</v>
      </c>
      <c r="D2">
        <v>11.12</v>
      </c>
      <c r="E2" s="2">
        <f>$B2*$C2/100</f>
        <v>58216.275000000001</v>
      </c>
      <c r="F2" s="2">
        <f>$B2*$D2/100</f>
        <v>99594.611999999994</v>
      </c>
      <c r="G2" s="2">
        <f>($E2+$F2)/2</f>
        <v>78905.443499999994</v>
      </c>
      <c r="H2" s="2">
        <f>$G2*0.01</f>
        <v>789.05443500000001</v>
      </c>
    </row>
    <row r="3" spans="1:8" x14ac:dyDescent="0.25">
      <c r="A3" t="s">
        <v>8</v>
      </c>
      <c r="B3" s="1">
        <v>683492</v>
      </c>
      <c r="C3">
        <v>5.2</v>
      </c>
      <c r="D3">
        <v>7.83</v>
      </c>
      <c r="E3" s="2">
        <f t="shared" ref="E3:E14" si="0">$B3*$C3/100</f>
        <v>35541.584000000003</v>
      </c>
      <c r="F3" s="2">
        <f t="shared" ref="F3:F14" si="1">$B3*$D3/100</f>
        <v>53517.423600000002</v>
      </c>
      <c r="G3" s="2">
        <f t="shared" ref="G3:G14" si="2">($E3+$F3)/2</f>
        <v>44529.503800000006</v>
      </c>
      <c r="H3" s="2">
        <f t="shared" ref="H3:H14" si="3">$G3*0.01</f>
        <v>445.29503800000009</v>
      </c>
    </row>
    <row r="4" spans="1:8" x14ac:dyDescent="0.25">
      <c r="A4" t="s">
        <v>9</v>
      </c>
      <c r="B4" s="1">
        <v>828644</v>
      </c>
      <c r="C4">
        <v>11.2</v>
      </c>
      <c r="D4">
        <v>13.08</v>
      </c>
      <c r="E4" s="2">
        <f t="shared" si="0"/>
        <v>92808.127999999982</v>
      </c>
      <c r="F4" s="2">
        <f t="shared" si="1"/>
        <v>108386.63519999999</v>
      </c>
      <c r="G4" s="2">
        <f t="shared" si="2"/>
        <v>100597.38159999999</v>
      </c>
      <c r="H4" s="2">
        <f t="shared" si="3"/>
        <v>1005.9738159999999</v>
      </c>
    </row>
    <row r="5" spans="1:8" x14ac:dyDescent="0.25">
      <c r="A5" t="s">
        <v>10</v>
      </c>
      <c r="B5" s="1">
        <v>792183</v>
      </c>
      <c r="C5">
        <v>4.5999999999999996</v>
      </c>
      <c r="D5">
        <v>7.88</v>
      </c>
      <c r="E5" s="2">
        <f t="shared" si="0"/>
        <v>36440.417999999998</v>
      </c>
      <c r="F5" s="2">
        <f t="shared" si="1"/>
        <v>62424.020400000001</v>
      </c>
      <c r="G5" s="2">
        <f t="shared" si="2"/>
        <v>49432.2192</v>
      </c>
      <c r="H5" s="2">
        <f t="shared" si="3"/>
        <v>494.32219200000003</v>
      </c>
    </row>
    <row r="6" spans="1:8" x14ac:dyDescent="0.25">
      <c r="A6" t="s">
        <v>11</v>
      </c>
      <c r="B6" s="1">
        <v>1199127</v>
      </c>
      <c r="C6">
        <v>3.7</v>
      </c>
      <c r="D6">
        <v>5.15</v>
      </c>
      <c r="E6" s="2">
        <f t="shared" si="0"/>
        <v>44367.699000000001</v>
      </c>
      <c r="F6" s="2">
        <f t="shared" si="1"/>
        <v>61755.04050000001</v>
      </c>
      <c r="G6" s="2">
        <f t="shared" si="2"/>
        <v>53061.369750000005</v>
      </c>
      <c r="H6" s="2">
        <f t="shared" si="3"/>
        <v>530.61369750000006</v>
      </c>
    </row>
    <row r="7" spans="1:8" x14ac:dyDescent="0.25">
      <c r="A7" t="s">
        <v>12</v>
      </c>
      <c r="B7" s="1">
        <v>485375</v>
      </c>
      <c r="C7">
        <v>3.8</v>
      </c>
      <c r="D7">
        <v>5.54</v>
      </c>
      <c r="E7" s="2">
        <f t="shared" si="0"/>
        <v>18444.25</v>
      </c>
      <c r="F7" s="2">
        <f t="shared" si="1"/>
        <v>26889.775000000001</v>
      </c>
      <c r="G7" s="2">
        <f t="shared" si="2"/>
        <v>22667.012500000001</v>
      </c>
      <c r="H7" s="2">
        <f t="shared" si="3"/>
        <v>226.67012500000001</v>
      </c>
    </row>
    <row r="8" spans="1:8" x14ac:dyDescent="0.25">
      <c r="A8" t="s">
        <v>13</v>
      </c>
      <c r="B8" s="1">
        <v>1549917</v>
      </c>
      <c r="C8">
        <v>2.9</v>
      </c>
      <c r="D8">
        <v>5.62</v>
      </c>
      <c r="E8" s="2">
        <f t="shared" si="0"/>
        <v>44947.593000000001</v>
      </c>
      <c r="F8" s="2">
        <f t="shared" si="1"/>
        <v>87105.335400000011</v>
      </c>
      <c r="G8" s="2">
        <f t="shared" si="2"/>
        <v>66026.464200000002</v>
      </c>
      <c r="H8" s="2">
        <f t="shared" si="3"/>
        <v>660.26464199999998</v>
      </c>
    </row>
    <row r="9" spans="1:8" x14ac:dyDescent="0.25">
      <c r="A9" t="s">
        <v>14</v>
      </c>
      <c r="B9" s="1">
        <v>451880</v>
      </c>
      <c r="C9">
        <v>2.2999999999999998</v>
      </c>
      <c r="D9">
        <v>3.15</v>
      </c>
      <c r="E9" s="2">
        <f t="shared" si="0"/>
        <v>10393.239999999998</v>
      </c>
      <c r="F9" s="2">
        <f t="shared" si="1"/>
        <v>14234.22</v>
      </c>
      <c r="G9" s="2">
        <f t="shared" si="2"/>
        <v>12313.73</v>
      </c>
      <c r="H9" s="2">
        <f t="shared" si="3"/>
        <v>123.1373</v>
      </c>
    </row>
    <row r="10" spans="1:8" x14ac:dyDescent="0.25">
      <c r="A10" t="s">
        <v>15</v>
      </c>
      <c r="B10" s="1">
        <v>114970</v>
      </c>
      <c r="C10">
        <v>0.5</v>
      </c>
      <c r="D10">
        <v>0.73</v>
      </c>
      <c r="E10" s="2">
        <f t="shared" si="0"/>
        <v>574.85</v>
      </c>
      <c r="F10" s="2">
        <f t="shared" si="1"/>
        <v>839.28099999999995</v>
      </c>
      <c r="G10" s="2">
        <f t="shared" si="2"/>
        <v>707.06549999999993</v>
      </c>
      <c r="H10" s="2">
        <f t="shared" si="3"/>
        <v>7.0706549999999995</v>
      </c>
    </row>
    <row r="11" spans="1:8" x14ac:dyDescent="0.25">
      <c r="A11" t="s">
        <v>16</v>
      </c>
      <c r="B11" s="1">
        <v>410888</v>
      </c>
      <c r="C11">
        <v>0.9</v>
      </c>
      <c r="D11">
        <v>1.49</v>
      </c>
      <c r="E11" s="2">
        <f t="shared" si="0"/>
        <v>3697.9920000000002</v>
      </c>
      <c r="F11" s="2">
        <f t="shared" si="1"/>
        <v>6122.2312000000002</v>
      </c>
      <c r="G11" s="2">
        <f t="shared" si="2"/>
        <v>4910.1116000000002</v>
      </c>
      <c r="H11" s="2">
        <f t="shared" si="3"/>
        <v>49.101116000000005</v>
      </c>
    </row>
    <row r="12" spans="1:8" x14ac:dyDescent="0.25">
      <c r="A12" t="s">
        <v>17</v>
      </c>
      <c r="B12" s="1">
        <v>644835</v>
      </c>
      <c r="C12">
        <v>0.4</v>
      </c>
      <c r="D12">
        <v>5.07</v>
      </c>
      <c r="E12" s="2">
        <f t="shared" si="0"/>
        <v>2579.34</v>
      </c>
      <c r="F12" s="2">
        <f t="shared" si="1"/>
        <v>32693.1345</v>
      </c>
      <c r="G12" s="2">
        <f t="shared" si="2"/>
        <v>17636.237249999998</v>
      </c>
      <c r="H12" s="2">
        <f t="shared" si="3"/>
        <v>176.36237249999999</v>
      </c>
    </row>
    <row r="13" spans="1:8" x14ac:dyDescent="0.25">
      <c r="A13" t="s">
        <v>18</v>
      </c>
      <c r="B13" s="1">
        <v>874938</v>
      </c>
      <c r="C13">
        <v>1</v>
      </c>
      <c r="D13">
        <v>1.62</v>
      </c>
      <c r="E13" s="2">
        <f t="shared" si="0"/>
        <v>8749.3799999999992</v>
      </c>
      <c r="F13" s="2">
        <f t="shared" si="1"/>
        <v>14173.9956</v>
      </c>
      <c r="G13" s="2">
        <f t="shared" si="2"/>
        <v>11461.6878</v>
      </c>
      <c r="H13" s="2">
        <f t="shared" si="3"/>
        <v>114.616878</v>
      </c>
    </row>
    <row r="14" spans="1:8" x14ac:dyDescent="0.25">
      <c r="A14" t="s">
        <v>19</v>
      </c>
      <c r="B14" s="1">
        <v>848760</v>
      </c>
      <c r="C14">
        <v>0.7</v>
      </c>
      <c r="D14">
        <v>2.35</v>
      </c>
      <c r="E14" s="2">
        <f t="shared" si="0"/>
        <v>5941.32</v>
      </c>
      <c r="F14" s="2">
        <f t="shared" si="1"/>
        <v>19945.86</v>
      </c>
      <c r="G14" s="2">
        <f t="shared" si="2"/>
        <v>12943.59</v>
      </c>
      <c r="H14" s="2">
        <f t="shared" si="3"/>
        <v>129.4359</v>
      </c>
    </row>
    <row r="15" spans="1:8" x14ac:dyDescent="0.25">
      <c r="B15" s="1"/>
    </row>
    <row r="16" spans="1:8" x14ac:dyDescent="0.25">
      <c r="A16" t="s">
        <v>20</v>
      </c>
      <c r="B16" s="1">
        <v>9780644</v>
      </c>
      <c r="E16" s="2">
        <v>362702</v>
      </c>
      <c r="F16" s="2">
        <v>587681</v>
      </c>
      <c r="G16" s="2">
        <v>475191</v>
      </c>
      <c r="H16" s="2">
        <v>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2025-02-17T05:24:35Z</dcterms:created>
  <dcterms:modified xsi:type="dcterms:W3CDTF">2025-02-22T03:08:02Z</dcterms:modified>
</cp:coreProperties>
</file>